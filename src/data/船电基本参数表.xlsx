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<sst xmlns="http://schemas.openxmlformats.org/spreadsheetml/2006/main" count="36" uniqueCount="26">
  <si>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项目</t>
  </si>
  <si>
    <t>60kWh</t>
  </si>
  <si>
    <t>90kWh</t>
  </si>
  <si>
    <t>备注</t>
  </si>
  <si>
    <t>体系</t>
  </si>
  <si>
    <t>NCM/Gr</t>
  </si>
  <si>
    <t>额定电压/V</t>
  </si>
  <si>
    <t>1/3C</t>
  </si>
  <si>
    <t>额定容量/Ah</t>
  </si>
  <si>
    <t>额定能量/kWh</t>
  </si>
  <si>
    <t>重量/kg</t>
  </si>
  <si>
    <t>355±5</t>
  </si>
  <si>
    <t>540±5</t>
  </si>
  <si>
    <t>能量密度/（Wh/kg）</t>
  </si>
  <si>
    <t>包络尺寸/mm</t>
  </si>
  <si>
    <t>1154±3/710±2/300±3</t>
  </si>
  <si>
    <t>1665±3/710±2/300±3</t>
  </si>
  <si>
    <t>防护等级</t>
  </si>
  <si>
    <t>IP67</t>
  </si>
  <si>
    <t>外壳材质</t>
  </si>
  <si>
    <t>316L</t>
  </si>
  <si>
    <t>箱体处理工艺</t>
  </si>
  <si>
    <t>电泳+喷塑</t>
  </si>
  <si>
    <t>外部螺栓材质</t>
  </si>
  <si>
    <t>其它</t>
  </si>
  <si>
    <t>可多包并联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</si>
</sst>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G14" sqref="G14"/>
    </sheetView>
  </sheetViews>
  <sheetFormatPr defaultColWidth="9" defaultRowHeight="13.5" outlineLevelCol="3"/>
  <cols>
    <col min="1" max="1" width="19.625" style="1" customWidth="1"/>
    <col min="2" max="3" width="23.375" style="1" customWidth="1"/>
    <col min="4" max="1638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2" t="s">
        <v>5</v>
      </c>
      <c r="C2" s="2" t="s">
        <v>5</v>
      </c>
      <c r="D2" s="2"/>
    </row>
    <row r="3" spans="1:4">
      <c r="A3" s="2" t="s">
        <v>6</v>
      </c>
      <c r="B3" s="2">
        <f>96*3.74</f>
        <v>359.04</v>
      </c>
      <c r="C3" s="2">
        <f>3.74*144</f>
        <v>538.56</v>
      </c>
      <c r="D3" s="2" t="s">
        <v>7</v>
      </c>
    </row>
    <row r="4" spans="1:4">
      <c r="A4" s="2" t="s">
        <v>8</v>
      </c>
      <c r="B4" s="2">
        <v>166</v>
      </c>
      <c r="C4" s="2">
        <v>166</v>
      </c>
      <c r="D4" s="2" t="s">
        <v>7</v>
      </c>
    </row>
    <row r="5" spans="1:4">
      <c r="A5" s="2" t="s">
        <v>9</v>
      </c>
      <c r="B5" s="3">
        <f>B3*B4/1000</f>
        <v>59.60064</v>
      </c>
      <c r="C5" s="3">
        <f>C3*C4/1000</f>
        <v>89.40096</v>
      </c>
      <c r="D5" s="2" t="s">
        <v>7</v>
      </c>
    </row>
    <row r="6" spans="1:4">
      <c r="A6" s="2" t="s">
        <v>10</v>
      </c>
      <c r="B6" s="3" t="s">
        <v>11</v>
      </c>
      <c r="C6" s="3" t="s">
        <v>12</v>
      </c>
      <c r="D6" s="2"/>
    </row>
    <row r="7" spans="1:4">
      <c r="A7" s="2" t="s">
        <v>13</v>
      </c>
      <c r="B7" s="4">
        <f>B5/355*1000</f>
        <v>167.889126760563</v>
      </c>
      <c r="C7" s="4">
        <f>C5/540*1000</f>
        <v>165.557333333333</v>
      </c>
      <c r="D7" s="2" t="s">
        <v>7</v>
      </c>
    </row>
    <row r="8" spans="1:4">
      <c r="A8" s="2" t="s">
        <v>14</v>
      </c>
      <c r="B8" s="2" t="s">
        <v>15</v>
      </c>
      <c r="C8" s="2" t="s">
        <v>16</v>
      </c>
      <c r="D8" s="2"/>
    </row>
    <row r="9" spans="1:4">
      <c r="A9" s="2" t="s">
        <v>17</v>
      </c>
      <c r="B9" s="2" t="s">
        <v>18</v>
      </c>
      <c r="C9" s="2" t="s">
        <v>18</v>
      </c>
      <c r="D9" s="2"/>
    </row>
    <row r="10" spans="1:4">
      <c r="A10" s="2" t="s">
        <v>19</v>
      </c>
      <c r="B10" s="2" t="s">
        <v>20</v>
      </c>
      <c r="C10" s="2" t="s">
        <v>20</v>
      </c>
      <c r="D10" s="2"/>
    </row>
    <row r="11" spans="1:4">
      <c r="A11" s="2" t="s">
        <v>21</v>
      </c>
      <c r="B11" s="2" t="s">
        <v>22</v>
      </c>
      <c r="C11" s="2" t="s">
        <v>22</v>
      </c>
      <c r="D11" s="2"/>
    </row>
    <row r="12" spans="1:4">
      <c r="A12" s="2" t="s">
        <v>23</v>
      </c>
      <c r="B12" s="2" t="s">
        <v>20</v>
      </c>
      <c r="C12" s="2" t="s">
        <v>20</v>
      </c>
      <c r="D12" s="2"/>
    </row>
    <row r="13" spans="1:4">
      <c r="A13" s="2" t="s">
        <v>24</v>
      </c>
      <c r="B13" s="2" t="s">
        <v>25</v>
      </c>
      <c r="C13" s="2" t="s">
        <v>25</v>
      </c>
      <c r="D13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周庆召</cp:lastModifiedBy>
  <dcterms:created xsi:type="dcterms:W3CDTF">2023-05-12T11:15:00Z</dcterms:created>
  <dcterms:modified xsi:type="dcterms:W3CDTF">2026-08-22T09:05:39Z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A60354E5100A4F6182B45BFD32820128_12</vt:lpwstr>
  </property>
  <property fmtid="{D5CDD505-2E9C-101B-9397-08002B2CF9AE}" pid="4" name="CalculationRule">
    <vt:i4>0</vt:i4>
  </property>
</Properties>
</file>